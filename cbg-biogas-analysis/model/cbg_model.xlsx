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LiveModel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C78A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wrapText="1"/>
    </xf>
    <xf numFmtId="0" fontId="3" fillId="0" borderId="0" pivotButton="0" quotePrefix="0" xfId="0"/>
    <xf numFmtId="0" fontId="5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0" customWidth="1" min="4" max="4"/>
    <col width="7" customWidth="1" min="5" max="5"/>
    <col width="46" customWidth="1" min="6" max="6"/>
  </cols>
  <sheetData>
    <row r="1">
      <c r="A1" s="1" t="inlineStr">
        <is>
          <t>CBG Techno-Economic Model — DRIVERS (yellow = editable)</t>
        </is>
      </c>
    </row>
    <row r="2">
      <c r="A2" t="inlineStr">
        <is>
          <t>Single source of truth. Edit yellow cells; LiveModel recomputes. See sources/citations.md for tiers.</t>
        </is>
      </c>
    </row>
    <row r="4">
      <c r="A4" s="2" t="inlineStr">
        <is>
          <t>#</t>
        </is>
      </c>
      <c r="B4" s="2" t="inlineStr">
        <is>
          <t>Driver</t>
        </is>
      </c>
      <c r="C4" s="2" t="inlineStr">
        <is>
          <t>Value</t>
        </is>
      </c>
      <c r="D4" s="2" t="inlineStr">
        <is>
          <t>Unit</t>
        </is>
      </c>
      <c r="E4" s="2" t="inlineStr">
        <is>
          <t>Tier</t>
        </is>
      </c>
      <c r="F4" s="2" t="inlineStr">
        <is>
          <t>Note</t>
        </is>
      </c>
    </row>
    <row r="5">
      <c r="A5" t="inlineStr">
        <is>
          <t>D6</t>
        </is>
      </c>
      <c r="B5" t="inlineStr">
        <is>
          <t>plf</t>
        </is>
      </c>
      <c r="C5" s="3" t="n">
        <v>0.5</v>
      </c>
      <c r="D5" t="inlineStr">
        <is>
          <t>frac</t>
        </is>
      </c>
      <c r="E5" t="inlineStr">
        <is>
          <t>T2</t>
        </is>
      </c>
      <c r="F5" t="inlineStr">
        <is>
          <t>realized PLF yr2-3; silent killer</t>
        </is>
      </c>
    </row>
    <row r="6">
      <c r="A6" t="inlineStr">
        <is>
          <t>D6</t>
        </is>
      </c>
      <c r="B6" t="inlineStr">
        <is>
          <t>yr1_plf_ramp</t>
        </is>
      </c>
      <c r="C6" s="3" t="n">
        <v>0.35</v>
      </c>
      <c r="D6" t="inlineStr">
        <is>
          <t>frac</t>
        </is>
      </c>
      <c r="E6" t="inlineStr">
        <is>
          <t>INF</t>
        </is>
      </c>
      <c r="F6" t="inlineStr">
        <is>
          <t>year-1 ramp</t>
        </is>
      </c>
    </row>
    <row r="7">
      <c r="A7" t="inlineStr">
        <is>
          <t>-</t>
        </is>
      </c>
      <c r="B7" t="inlineStr">
        <is>
          <t>operating_basis_days</t>
        </is>
      </c>
      <c r="C7" s="3" t="n">
        <v>365</v>
      </c>
      <c r="D7" t="inlineStr">
        <is>
          <t>days</t>
        </is>
      </c>
      <c r="E7" t="inlineStr">
        <is>
          <t>-</t>
        </is>
      </c>
      <c r="F7" t="inlineStr">
        <is>
          <t>PLF embeds downtime; 365×PLF</t>
        </is>
      </c>
    </row>
    <row r="8">
      <c r="A8" t="inlineStr">
        <is>
          <t>D3</t>
        </is>
      </c>
      <c r="B8" t="inlineStr">
        <is>
          <t>weighted_yield</t>
        </is>
      </c>
      <c r="C8" s="3" t="n">
        <v>27.5</v>
      </c>
      <c r="D8" t="inlineStr">
        <is>
          <t>kgCBG/t</t>
        </is>
      </c>
      <c r="E8" t="inlineStr">
        <is>
          <t>INF</t>
        </is>
      </c>
      <c r="F8" t="inlineStr">
        <is>
          <t>blend yield (dung 15, pressmud 40)</t>
        </is>
      </c>
    </row>
    <row r="9">
      <c r="A9" t="inlineStr">
        <is>
          <t>D1</t>
        </is>
      </c>
      <c r="B9" t="inlineStr">
        <is>
          <t>dung_price</t>
        </is>
      </c>
      <c r="C9" s="3" t="n">
        <v>1250</v>
      </c>
      <c r="D9" t="inlineStr">
        <is>
          <t>₹/t</t>
        </is>
      </c>
      <c r="E9" t="inlineStr">
        <is>
          <t>T2</t>
        </is>
      </c>
      <c r="F9" t="inlineStr">
        <is>
          <t>NDDB ₹1/kg→spiral; &gt;₹1500 kills viability</t>
        </is>
      </c>
    </row>
    <row r="10">
      <c r="A10" t="inlineStr">
        <is>
          <t>D1</t>
        </is>
      </c>
      <c r="B10" t="inlineStr">
        <is>
          <t>pressmud_price</t>
        </is>
      </c>
      <c r="C10" s="3" t="n">
        <v>550</v>
      </c>
      <c r="D10" t="inlineStr">
        <is>
          <t>₹/t</t>
        </is>
      </c>
      <c r="E10" t="inlineStr">
        <is>
          <t>T2</t>
        </is>
      </c>
      <c r="F10" t="inlineStr">
        <is>
          <t>₹500-600; SEASONAL Oct-Apr</t>
        </is>
      </c>
    </row>
    <row r="11">
      <c r="A11" t="inlineStr">
        <is>
          <t>D7</t>
        </is>
      </c>
      <c r="B11" t="inlineStr">
        <is>
          <t>dung_share</t>
        </is>
      </c>
      <c r="C11" s="3" t="n">
        <v>0.5</v>
      </c>
      <c r="D11" t="inlineStr">
        <is>
          <t>frac</t>
        </is>
      </c>
      <c r="E11" t="inlineStr">
        <is>
          <t>-</t>
        </is>
      </c>
      <c r="F11" t="inlineStr">
        <is>
          <t>co-digestion recipe</t>
        </is>
      </c>
    </row>
    <row r="12">
      <c r="A12" t="inlineStr">
        <is>
          <t>D7</t>
        </is>
      </c>
      <c r="B12" t="inlineStr">
        <is>
          <t>pressmud_share</t>
        </is>
      </c>
      <c r="C12" s="3" t="n">
        <v>0.5</v>
      </c>
      <c r="D12" t="inlineStr">
        <is>
          <t>frac</t>
        </is>
      </c>
      <c r="E12" t="inlineStr">
        <is>
          <t>-</t>
        </is>
      </c>
      <c r="F12" t="inlineStr">
        <is>
          <t>co-digestion recipe</t>
        </is>
      </c>
    </row>
    <row r="13">
      <c r="A13" t="inlineStr">
        <is>
          <t>D2</t>
        </is>
      </c>
      <c r="B13" t="inlineStr">
        <is>
          <t>collectable_dung_kg_per_animal_day</t>
        </is>
      </c>
      <c r="C13" s="3" t="n">
        <v>5</v>
      </c>
      <c r="D13" t="inlineStr">
        <is>
          <t>kg</t>
        </is>
      </c>
      <c r="E13" t="inlineStr">
        <is>
          <t>T2</t>
        </is>
      </c>
      <c r="F13" t="inlineStr">
        <is>
          <t>dairy-anchored 5; scattered 3</t>
        </is>
      </c>
    </row>
    <row r="14">
      <c r="A14" t="inlineStr">
        <is>
          <t>D2</t>
        </is>
      </c>
      <c r="B14" t="inlineStr">
        <is>
          <t>collection_radius_km_max</t>
        </is>
      </c>
      <c r="C14" s="3" t="n">
        <v>15</v>
      </c>
      <c r="D14" t="inlineStr">
        <is>
          <t>km</t>
        </is>
      </c>
      <c r="E14" t="inlineStr">
        <is>
          <t>T2</t>
        </is>
      </c>
      <c r="F14" t="inlineStr">
        <is>
          <t>wet-dung economical radius</t>
        </is>
      </c>
    </row>
    <row r="15">
      <c r="A15" t="inlineStr">
        <is>
          <t>D4</t>
        </is>
      </c>
      <c r="B15" t="inlineStr">
        <is>
          <t>cbg_price_rs_per_kg_M1</t>
        </is>
      </c>
      <c r="C15" s="3" t="n">
        <v>77</v>
      </c>
      <c r="D15" t="inlineStr">
        <is>
          <t>₹/kg</t>
        </is>
      </c>
      <c r="E15" t="inlineStr">
        <is>
          <t>T2</t>
        </is>
      </c>
      <c r="F15" t="inlineStr">
        <is>
          <t>SATAT 85% of CNG, NO floor</t>
        </is>
      </c>
    </row>
    <row r="16">
      <c r="A16" t="inlineStr">
        <is>
          <t>D4</t>
        </is>
      </c>
      <c r="B16" t="inlineStr">
        <is>
          <t>cbg_realisation_rs_per_kg_M2</t>
        </is>
      </c>
      <c r="C16" s="3" t="n">
        <v>90</v>
      </c>
      <c r="D16" t="inlineStr">
        <is>
          <t>₹/kg</t>
        </is>
      </c>
      <c r="E16" t="inlineStr">
        <is>
          <t>INF</t>
        </is>
      </c>
      <c r="F16" t="inlineStr">
        <is>
          <t>bottled niche realisation</t>
        </is>
      </c>
    </row>
    <row r="17">
      <c r="A17" t="inlineStr">
        <is>
          <t>D13</t>
        </is>
      </c>
      <c r="B17" t="inlineStr">
        <is>
          <t>avoided_fuel_rs_per_kg_cbg_M3</t>
        </is>
      </c>
      <c r="C17" s="3" t="n">
        <v>60</v>
      </c>
      <c r="D17" t="inlineStr">
        <is>
          <t>₹/kg</t>
        </is>
      </c>
      <c r="E17" t="inlineStr">
        <is>
          <t>READER</t>
        </is>
      </c>
      <c r="F17" t="inlineStr">
        <is>
          <t>M3 avoided PNG/LPG/FO — PLUG REAL VALUE</t>
        </is>
      </c>
    </row>
    <row r="18">
      <c r="A18" t="inlineStr">
        <is>
          <t>D8</t>
        </is>
      </c>
      <c r="B18" t="inlineStr">
        <is>
          <t>fom_price_rs_per_t</t>
        </is>
      </c>
      <c r="C18" s="3" t="n">
        <v>1250</v>
      </c>
      <c r="D18" t="inlineStr">
        <is>
          <t>₹/t</t>
        </is>
      </c>
      <c r="E18" t="inlineStr">
        <is>
          <t>T1</t>
        </is>
      </c>
      <c r="F18" t="inlineStr">
        <is>
          <t>₹500-4500; base near MDA floor</t>
        </is>
      </c>
    </row>
    <row r="19">
      <c r="A19" t="inlineStr">
        <is>
          <t>D8</t>
        </is>
      </c>
      <c r="B19" t="inlineStr">
        <is>
          <t>fom_t_per_t_feedstock</t>
        </is>
      </c>
      <c r="C19" s="3" t="n">
        <v>0.3</v>
      </c>
      <c r="D19" t="inlineStr">
        <is>
          <t>frac</t>
        </is>
      </c>
      <c r="E19" t="inlineStr">
        <is>
          <t>INF</t>
        </is>
      </c>
      <c r="F19" t="inlineStr">
        <is>
          <t>solid FOM fraction</t>
        </is>
      </c>
    </row>
    <row r="20">
      <c r="A20" t="inlineStr">
        <is>
          <t>D8</t>
        </is>
      </c>
      <c r="B20" t="inlineStr">
        <is>
          <t>fom_revenue_clears (1/0)</t>
        </is>
      </c>
      <c r="C20" s="3" t="n">
        <v>1</v>
      </c>
      <c r="D20" t="inlineStr">
        <is>
          <t>bool</t>
        </is>
      </c>
      <c r="E20" t="inlineStr">
        <is>
          <t>T2</t>
        </is>
      </c>
      <c r="F20" t="inlineStr">
        <is>
          <t>0 = realistic ZERO-FOM downside</t>
        </is>
      </c>
    </row>
    <row r="21">
      <c r="A21" t="inlineStr">
        <is>
          <t>D5</t>
        </is>
      </c>
      <c r="B21" t="inlineStr">
        <is>
          <t>capex_intensity_rs_per_kgday</t>
        </is>
      </c>
      <c r="C21" s="3" t="n">
        <v>45000</v>
      </c>
      <c r="D21" t="inlineStr">
        <is>
          <t>₹/(kg/d)</t>
        </is>
      </c>
      <c r="E21" t="inlineStr">
        <is>
          <t>INF</t>
        </is>
      </c>
      <c r="F21" t="inlineStr">
        <is>
          <t>₹40-50k @5TPD; small worse</t>
        </is>
      </c>
    </row>
    <row r="22">
      <c r="A22" t="inlineStr">
        <is>
          <t>D5</t>
        </is>
      </c>
      <c r="B22" t="inlineStr">
        <is>
          <t>bottling_capex_multiplier_M2</t>
        </is>
      </c>
      <c r="C22" s="3" t="n">
        <v>3</v>
      </c>
      <c r="D22" t="inlineStr">
        <is>
          <t>x</t>
        </is>
      </c>
      <c r="E22" t="inlineStr">
        <is>
          <t>T1</t>
        </is>
      </c>
      <c r="F22" t="inlineStr">
        <is>
          <t>M2 retail 2-5× injection</t>
        </is>
      </c>
    </row>
    <row r="23">
      <c r="A23" t="inlineStr">
        <is>
          <t>D5</t>
        </is>
      </c>
      <c r="B23" t="inlineStr">
        <is>
          <t>capex_multiplier_for_live (1=M1/M3, 3=M2)</t>
        </is>
      </c>
      <c r="C23" s="3" t="n">
        <v>1</v>
      </c>
      <c r="D23" t="inlineStr">
        <is>
          <t>x</t>
        </is>
      </c>
      <c r="E23" t="inlineStr">
        <is>
          <t>-</t>
        </is>
      </c>
      <c r="F23" t="inlineStr">
        <is>
          <t>set 3 to model M2 in LiveModel</t>
        </is>
      </c>
    </row>
    <row r="24">
      <c r="A24" t="inlineStr">
        <is>
          <t>D10</t>
        </is>
      </c>
      <c r="B24" t="inlineStr">
        <is>
          <t>subsidy_cap_pct_of_gross</t>
        </is>
      </c>
      <c r="C24" s="3" t="n">
        <v>0.3</v>
      </c>
      <c r="D24" t="inlineStr">
        <is>
          <t>frac</t>
        </is>
      </c>
      <c r="E24" t="inlineStr">
        <is>
          <t>T2</t>
        </is>
      </c>
      <c r="F24" t="inlineStr">
        <is>
          <t>realistic 20-35%</t>
        </is>
      </c>
    </row>
    <row r="25">
      <c r="A25" t="inlineStr">
        <is>
          <t>D10</t>
        </is>
      </c>
      <c r="B25" t="inlineStr">
        <is>
          <t>include_dpi_subsidy (1/0)</t>
        </is>
      </c>
      <c r="C25" s="3" t="n">
        <v>0</v>
      </c>
      <c r="D25" t="inlineStr">
        <is>
          <t>bool</t>
        </is>
      </c>
      <c r="E25" t="inlineStr">
        <is>
          <t>T1</t>
        </is>
      </c>
      <c r="F25" t="inlineStr">
        <is>
          <t>needs CGD GSA w/ 50% ToP</t>
        </is>
      </c>
    </row>
    <row r="26">
      <c r="A26" t="inlineStr">
        <is>
          <t>-</t>
        </is>
      </c>
      <c r="B26" t="inlineStr">
        <is>
          <t>mnre_cfa_rs_per_4800kgday</t>
        </is>
      </c>
      <c r="C26" s="3" t="n">
        <v>40000000</v>
      </c>
      <c r="D26" t="inlineStr">
        <is>
          <t>₹</t>
        </is>
      </c>
      <c r="E26" t="inlineStr">
        <is>
          <t>T1</t>
        </is>
      </c>
      <c r="F26" t="inlineStr">
        <is>
          <t>₹4 cr/4800 kgday</t>
        </is>
      </c>
    </row>
    <row r="27">
      <c r="A27" t="inlineStr">
        <is>
          <t>-</t>
        </is>
      </c>
      <c r="B27" t="inlineStr">
        <is>
          <t>mnre_cfa_cap_rs</t>
        </is>
      </c>
      <c r="C27" s="3" t="n">
        <v>100000000</v>
      </c>
      <c r="D27" t="inlineStr">
        <is>
          <t>₹</t>
        </is>
      </c>
      <c r="E27" t="inlineStr">
        <is>
          <t>T1</t>
        </is>
      </c>
      <c r="F27" t="inlineStr">
        <is>
          <t>cap ₹10 cr</t>
        </is>
      </c>
    </row>
    <row r="28">
      <c r="A28" t="inlineStr">
        <is>
          <t>-</t>
        </is>
      </c>
      <c r="B28" t="inlineStr">
        <is>
          <t>dpi_pipeline_support_rs</t>
        </is>
      </c>
      <c r="C28" s="3" t="n">
        <v>99500000</v>
      </c>
      <c r="D28" t="inlineStr">
        <is>
          <t>₹</t>
        </is>
      </c>
      <c r="E28" t="inlineStr">
        <is>
          <t>T1</t>
        </is>
      </c>
      <c r="F28" t="inlineStr">
        <is>
          <t>~₹9.95 cr (M1 only)</t>
        </is>
      </c>
    </row>
    <row r="29">
      <c r="A29" t="inlineStr">
        <is>
          <t>-</t>
        </is>
      </c>
      <c r="B29" t="inlineStr">
        <is>
          <t>fixed_opex_pct_of_capex</t>
        </is>
      </c>
      <c r="C29" s="3" t="n">
        <v>0.05</v>
      </c>
      <c r="D29" t="inlineStr">
        <is>
          <t>frac</t>
        </is>
      </c>
      <c r="E29" t="inlineStr">
        <is>
          <t>INF</t>
        </is>
      </c>
      <c r="F29" t="inlineStr">
        <is>
          <t>O&amp;M+manpower (PLF-independent)</t>
        </is>
      </c>
    </row>
    <row r="30">
      <c r="A30" t="inlineStr">
        <is>
          <t>-</t>
        </is>
      </c>
      <c r="B30" t="inlineStr">
        <is>
          <t>variable_opex_rs_per_kg</t>
        </is>
      </c>
      <c r="C30" s="3" t="n">
        <v>4</v>
      </c>
      <c r="D30" t="inlineStr">
        <is>
          <t>₹/kg</t>
        </is>
      </c>
      <c r="E30" t="inlineStr">
        <is>
          <t>INF</t>
        </is>
      </c>
      <c r="F30" t="inlineStr">
        <is>
          <t>power/consumables</t>
        </is>
      </c>
    </row>
    <row r="31">
      <c r="A31" t="inlineStr">
        <is>
          <t>-</t>
        </is>
      </c>
      <c r="B31" t="inlineStr">
        <is>
          <t>logistics_opex_rs_per_kg (M2 only)</t>
        </is>
      </c>
      <c r="C31" s="3" t="n">
        <v>0</v>
      </c>
      <c r="D31" t="inlineStr">
        <is>
          <t>₹/kg</t>
        </is>
      </c>
      <c r="E31" t="inlineStr">
        <is>
          <t>INF</t>
        </is>
      </c>
      <c r="F31" t="inlineStr">
        <is>
          <t>set 15 for M2 bottled</t>
        </is>
      </c>
    </row>
    <row r="32">
      <c r="A32" t="inlineStr">
        <is>
          <t>-</t>
        </is>
      </c>
      <c r="B32" t="inlineStr">
        <is>
          <t>aggregation_capex_share</t>
        </is>
      </c>
      <c r="C32" s="3" t="n">
        <v>0.2</v>
      </c>
      <c r="D32" t="inlineStr">
        <is>
          <t>frac</t>
        </is>
      </c>
      <c r="E32" t="inlineStr">
        <is>
          <t>T2</t>
        </is>
      </c>
      <c r="F32" t="inlineStr">
        <is>
          <t>reinvest yrs 5,10</t>
        </is>
      </c>
    </row>
    <row r="33">
      <c r="A33" t="inlineStr">
        <is>
          <t>D11</t>
        </is>
      </c>
      <c r="B33" t="inlineStr">
        <is>
          <t>debt_share</t>
        </is>
      </c>
      <c r="C33" s="3" t="n">
        <v>0.75</v>
      </c>
      <c r="D33" t="inlineStr">
        <is>
          <t>frac</t>
        </is>
      </c>
      <c r="E33" t="inlineStr">
        <is>
          <t>T2</t>
        </is>
      </c>
      <c r="F33" t="inlineStr">
        <is>
          <t>75:25 post-tightening</t>
        </is>
      </c>
    </row>
    <row r="34">
      <c r="A34" t="inlineStr">
        <is>
          <t>D11</t>
        </is>
      </c>
      <c r="B34" t="inlineStr">
        <is>
          <t>cost_of_debt</t>
        </is>
      </c>
      <c r="C34" s="3" t="n">
        <v>0.105</v>
      </c>
      <c r="D34" t="inlineStr">
        <is>
          <t>frac</t>
        </is>
      </c>
      <c r="E34" t="inlineStr">
        <is>
          <t>INF</t>
        </is>
      </c>
      <c r="F34" t="inlineStr">
        <is>
          <t>~10.5% MCLR-linked</t>
        </is>
      </c>
    </row>
    <row r="35">
      <c r="A35" t="inlineStr">
        <is>
          <t>-</t>
        </is>
      </c>
      <c r="B35" t="inlineStr">
        <is>
          <t>debt_tenor_years</t>
        </is>
      </c>
      <c r="C35" s="3" t="n">
        <v>11</v>
      </c>
      <c r="D35" t="inlineStr">
        <is>
          <t>yrs</t>
        </is>
      </c>
      <c r="E35" t="inlineStr">
        <is>
          <t>T1</t>
        </is>
      </c>
      <c r="F35" t="inlineStr">
        <is>
          <t>10-12</t>
        </is>
      </c>
    </row>
    <row r="36">
      <c r="A36" t="inlineStr">
        <is>
          <t>D11</t>
        </is>
      </c>
      <c r="B36" t="inlineStr">
        <is>
          <t>cost_of_equity</t>
        </is>
      </c>
      <c r="C36" s="3" t="n">
        <v>0.18</v>
      </c>
      <c r="D36" t="inlineStr">
        <is>
          <t>frac</t>
        </is>
      </c>
      <c r="E36" t="inlineStr">
        <is>
          <t>OPN</t>
        </is>
      </c>
      <c r="F36" t="inlineStr">
        <is>
          <t>reader hurdle ~20%, ESG haircut</t>
        </is>
      </c>
    </row>
    <row r="37">
      <c r="A37" t="inlineStr">
        <is>
          <t>-</t>
        </is>
      </c>
      <c r="B37" t="inlineStr">
        <is>
          <t>tax_rate</t>
        </is>
      </c>
      <c r="C37" s="3" t="n">
        <v>0.25</v>
      </c>
      <c r="D37" t="inlineStr">
        <is>
          <t>frac</t>
        </is>
      </c>
      <c r="E37" t="inlineStr">
        <is>
          <t>T1</t>
        </is>
      </c>
      <c r="F37" t="inlineStr">
        <is>
          <t>25% corporate</t>
        </is>
      </c>
    </row>
    <row r="38">
      <c r="A38" t="inlineStr">
        <is>
          <t>-</t>
        </is>
      </c>
      <c r="B38" t="inlineStr">
        <is>
          <t>project_life_years</t>
        </is>
      </c>
      <c r="C38" s="3" t="n">
        <v>15</v>
      </c>
      <c r="D38" t="inlineStr">
        <is>
          <t>yrs</t>
        </is>
      </c>
      <c r="E38" t="inlineStr">
        <is>
          <t>T1</t>
        </is>
      </c>
      <c r="F38" t="inlineStr">
        <is>
          <t>offtake tenor 15 yrs</t>
        </is>
      </c>
    </row>
    <row r="39">
      <c r="A39" t="inlineStr">
        <is>
          <t>-</t>
        </is>
      </c>
      <c r="B39" t="inlineStr">
        <is>
          <t>depreciation_years</t>
        </is>
      </c>
      <c r="C39" s="3" t="n">
        <v>15</v>
      </c>
      <c r="D39" t="inlineStr">
        <is>
          <t>yrs</t>
        </is>
      </c>
      <c r="E39" t="inlineStr">
        <is>
          <t>INF</t>
        </is>
      </c>
      <c r="F39" t="inlineStr">
        <is>
          <t>straight-line</t>
        </is>
      </c>
    </row>
    <row r="40">
      <c r="A40" t="inlineStr">
        <is>
          <t>-</t>
        </is>
      </c>
      <c r="B40" t="inlineStr">
        <is>
          <t>scale_tpd_cbg (LiveModel)</t>
        </is>
      </c>
      <c r="C40" s="3" t="n">
        <v>5</v>
      </c>
      <c r="D40" t="inlineStr">
        <is>
          <t>TPD</t>
        </is>
      </c>
      <c r="E40" t="inlineStr">
        <is>
          <t>-</t>
        </is>
      </c>
      <c r="F40" t="inlineStr">
        <is>
          <t>plant CBG output for LiveModel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11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1" customWidth="1" min="11" max="11"/>
    <col width="13" customWidth="1" min="12" max="12"/>
    <col width="13" customWidth="1" min="13" max="13"/>
    <col width="11" customWidth="1" min="14" max="14"/>
    <col width="11" customWidth="1" min="15" max="15"/>
    <col width="13" customWidth="1" min="16" max="16"/>
    <col width="7" customWidth="1" min="17" max="17"/>
  </cols>
  <sheetData>
    <row r="1">
      <c r="A1" s="4" t="inlineStr">
        <is>
          <t>LIVE MODEL — edit Drivers, this recomputes (M1 default). Cross-check vs Python engine at right.</t>
        </is>
      </c>
    </row>
    <row r="3">
      <c r="A3" t="inlineStr">
        <is>
          <t>cbg_nameplate_kgday</t>
        </is>
      </c>
      <c r="B3" s="5">
        <f>Drivers!$C$40*1000</f>
        <v/>
      </c>
    </row>
    <row r="4">
      <c r="A4" t="inlineStr">
        <is>
          <t>feedstock_tpd</t>
        </is>
      </c>
      <c r="B4" s="5">
        <f>B3/Drivers!$C$8</f>
        <v/>
      </c>
    </row>
    <row r="5">
      <c r="A5" t="inlineStr">
        <is>
          <t>blended_feed_₹/t</t>
        </is>
      </c>
      <c r="B5" s="5">
        <f>Drivers!$C$11*Drivers!$C$9+Drivers!$C$12*Drivers!$C$10</f>
        <v/>
      </c>
    </row>
    <row r="6">
      <c r="A6" t="inlineStr">
        <is>
          <t>gross_capex ₹</t>
        </is>
      </c>
      <c r="B6" s="5">
        <f>B3*Drivers!$C$21*Drivers!$C$23</f>
        <v/>
      </c>
    </row>
    <row r="7">
      <c r="A7" t="inlineStr">
        <is>
          <t>mnre_subsidy ₹</t>
        </is>
      </c>
      <c r="B7" s="5">
        <f>MIN(Drivers!$C$26*(B3/4800),Drivers!$C$27)</f>
        <v/>
      </c>
    </row>
    <row r="8">
      <c r="A8" t="inlineStr">
        <is>
          <t>dpi_subsidy ₹</t>
        </is>
      </c>
      <c r="B8" s="5">
        <f>IF(Drivers!$C$25=1,Drivers!$C$28,0)</f>
        <v/>
      </c>
    </row>
    <row r="9">
      <c r="A9" t="inlineStr">
        <is>
          <t>subsidy ₹</t>
        </is>
      </c>
      <c r="B9" s="5">
        <f>MIN(B7+B8,Drivers!$C$24*B6)</f>
        <v/>
      </c>
    </row>
    <row r="10">
      <c r="A10" t="inlineStr">
        <is>
          <t>net_capex ₹</t>
        </is>
      </c>
      <c r="B10" s="5">
        <f>B6-B9</f>
        <v/>
      </c>
    </row>
    <row r="11">
      <c r="A11" t="inlineStr">
        <is>
          <t>debt ₹</t>
        </is>
      </c>
      <c r="B11" s="5">
        <f>B10*Drivers!$C$33</f>
        <v/>
      </c>
    </row>
    <row r="12">
      <c r="A12" t="inlineStr">
        <is>
          <t>equity ₹</t>
        </is>
      </c>
      <c r="B12" s="5">
        <f>B10*(1-Drivers!$C$33)</f>
        <v/>
      </c>
    </row>
    <row r="13">
      <c r="A13" t="inlineStr">
        <is>
          <t>depreciation ₹/yr</t>
        </is>
      </c>
      <c r="B13" s="5">
        <f>B10/Drivers!$C$39</f>
        <v/>
      </c>
    </row>
    <row r="14">
      <c r="A14" t="inlineStr">
        <is>
          <t>WACC</t>
        </is>
      </c>
      <c r="B14" s="6">
        <f>Drivers!$C$33*Drivers!$C$34*(1-Drivers!$C$37)+(1-Drivers!$C$33)*Drivers!$C$36</f>
        <v/>
      </c>
    </row>
    <row r="15">
      <c r="A15" t="inlineStr">
        <is>
          <t>revenue_unit ₹/kg (M1)</t>
        </is>
      </c>
      <c r="B15" s="7">
        <f>Drivers!$C$15</f>
        <v/>
      </c>
    </row>
    <row r="18">
      <c r="A18" s="8" t="inlineStr">
        <is>
          <t>Year</t>
        </is>
      </c>
      <c r="B18" s="8" t="inlineStr">
        <is>
          <t>PLF</t>
        </is>
      </c>
      <c r="C18" s="8" t="inlineStr">
        <is>
          <t>CBG kg/yr</t>
        </is>
      </c>
      <c r="D18" s="8" t="inlineStr">
        <is>
          <t>Feed t/yr</t>
        </is>
      </c>
      <c r="E18" s="8" t="inlineStr">
        <is>
          <t>Feedstock ₹</t>
        </is>
      </c>
      <c r="F18" s="8" t="inlineStr">
        <is>
          <t>Fixed opex ₹</t>
        </is>
      </c>
      <c r="G18" s="8" t="inlineStr">
        <is>
          <t>Var opex ₹</t>
        </is>
      </c>
      <c r="H18" s="8" t="inlineStr">
        <is>
          <t>Logistics ₹</t>
        </is>
      </c>
      <c r="I18" s="8" t="inlineStr">
        <is>
          <t>Revenue ₹</t>
        </is>
      </c>
      <c r="J18" s="8" t="inlineStr">
        <is>
          <t>EBIT ₹</t>
        </is>
      </c>
      <c r="K18" s="8" t="inlineStr">
        <is>
          <t>Reinvest ₹</t>
        </is>
      </c>
      <c r="L18" s="8" t="inlineStr">
        <is>
          <t>Unlev FCF ₹</t>
        </is>
      </c>
      <c r="M18" s="8" t="inlineStr">
        <is>
          <t>Debt bal ₹</t>
        </is>
      </c>
      <c r="N18" s="8" t="inlineStr">
        <is>
          <t>Interest ₹</t>
        </is>
      </c>
      <c r="O18" s="8" t="inlineStr">
        <is>
          <t>Principal ₹</t>
        </is>
      </c>
      <c r="P18" s="8" t="inlineStr">
        <is>
          <t>Equity CF ₹</t>
        </is>
      </c>
      <c r="Q18" s="8" t="inlineStr">
        <is>
          <t>DSCR</t>
        </is>
      </c>
    </row>
    <row r="19">
      <c r="A19" t="n">
        <v>0</v>
      </c>
      <c r="L19">
        <f>-B10</f>
        <v/>
      </c>
      <c r="M19">
        <f>B11</f>
        <v/>
      </c>
      <c r="P19">
        <f>-B12</f>
        <v/>
      </c>
    </row>
    <row r="20">
      <c r="A20" t="n">
        <v>1</v>
      </c>
      <c r="B20">
        <f>IF(A20=1,Drivers!$C$6,Drivers!$C$5)</f>
        <v/>
      </c>
      <c r="C20">
        <f>B$3*Drivers!$C$7*B20</f>
        <v/>
      </c>
      <c r="D20">
        <f>B$4*Drivers!$C$7*B20</f>
        <v/>
      </c>
      <c r="E20">
        <f>D20*B$5</f>
        <v/>
      </c>
      <c r="F20">
        <f>Drivers!$C$29*B$6</f>
        <v/>
      </c>
      <c r="G20">
        <f>C20*Drivers!$C$30</f>
        <v/>
      </c>
      <c r="H20">
        <f>C20*Drivers!$C$31</f>
        <v/>
      </c>
      <c r="I20">
        <f>C20*B$15+IF(Drivers!$C$20=1,D20*Drivers!$C$19*Drivers!$C$18,0)</f>
        <v/>
      </c>
      <c r="J20">
        <f>I20-E20-F20-G20-H20-B$13</f>
        <v/>
      </c>
      <c r="K20">
        <f>IF(OR(A20=5,A20=10),Drivers!$C$32*B$6,0)</f>
        <v/>
      </c>
      <c r="L20">
        <f>J20-IF(J20&gt;0,J20*Drivers!$C$37,0)+B$13-K20</f>
        <v/>
      </c>
      <c r="M20">
        <f>B11</f>
        <v/>
      </c>
      <c r="N20">
        <f>M20*Drivers!$C$34</f>
        <v/>
      </c>
      <c r="O20">
        <f>IF(A20&lt;=Drivers!$C$35,B$11/Drivers!$C$35,0)</f>
        <v/>
      </c>
      <c r="P20">
        <f>(J20-N20)-IF((J20-N20)&gt;0,(J20-N20)*Drivers!$C$37,0)+B$13-O20-K20</f>
        <v/>
      </c>
      <c r="Q20">
        <f>IF((N20+O20)&gt;0,((J20-N20)-IF((J20-N20)&gt;0,(J20-N20)*Drivers!$C$37,0)+B$13+N20)/(N20+O20),"")</f>
        <v/>
      </c>
    </row>
    <row r="21">
      <c r="A21" t="n">
        <v>2</v>
      </c>
      <c r="B21">
        <f>IF(A21=1,Drivers!$C$6,Drivers!$C$5)</f>
        <v/>
      </c>
      <c r="C21">
        <f>B$3*Drivers!$C$7*B21</f>
        <v/>
      </c>
      <c r="D21">
        <f>B$4*Drivers!$C$7*B21</f>
        <v/>
      </c>
      <c r="E21">
        <f>D21*B$5</f>
        <v/>
      </c>
      <c r="F21">
        <f>Drivers!$C$29*B$6</f>
        <v/>
      </c>
      <c r="G21">
        <f>C21*Drivers!$C$30</f>
        <v/>
      </c>
      <c r="H21">
        <f>C21*Drivers!$C$31</f>
        <v/>
      </c>
      <c r="I21">
        <f>C21*B$15+IF(Drivers!$C$20=1,D21*Drivers!$C$19*Drivers!$C$18,0)</f>
        <v/>
      </c>
      <c r="J21">
        <f>I21-E21-F21-G21-H21-B$13</f>
        <v/>
      </c>
      <c r="K21">
        <f>IF(OR(A21=5,A21=10),Drivers!$C$32*B$6,0)</f>
        <v/>
      </c>
      <c r="L21">
        <f>J21-IF(J21&gt;0,J21*Drivers!$C$37,0)+B$13-K21</f>
        <v/>
      </c>
      <c r="M21">
        <f>M20-O20</f>
        <v/>
      </c>
      <c r="N21">
        <f>M21*Drivers!$C$34</f>
        <v/>
      </c>
      <c r="O21">
        <f>IF(A21&lt;=Drivers!$C$35,B$11/Drivers!$C$35,0)</f>
        <v/>
      </c>
      <c r="P21">
        <f>(J21-N21)-IF((J21-N21)&gt;0,(J21-N21)*Drivers!$C$37,0)+B$13-O21-K21</f>
        <v/>
      </c>
      <c r="Q21">
        <f>IF((N21+O21)&gt;0,((J21-N21)-IF((J21-N21)&gt;0,(J21-N21)*Drivers!$C$37,0)+B$13+N21)/(N21+O21),"")</f>
        <v/>
      </c>
    </row>
    <row r="22">
      <c r="A22" t="n">
        <v>3</v>
      </c>
      <c r="B22">
        <f>IF(A22=1,Drivers!$C$6,Drivers!$C$5)</f>
        <v/>
      </c>
      <c r="C22">
        <f>B$3*Drivers!$C$7*B22</f>
        <v/>
      </c>
      <c r="D22">
        <f>B$4*Drivers!$C$7*B22</f>
        <v/>
      </c>
      <c r="E22">
        <f>D22*B$5</f>
        <v/>
      </c>
      <c r="F22">
        <f>Drivers!$C$29*B$6</f>
        <v/>
      </c>
      <c r="G22">
        <f>C22*Drivers!$C$30</f>
        <v/>
      </c>
      <c r="H22">
        <f>C22*Drivers!$C$31</f>
        <v/>
      </c>
      <c r="I22">
        <f>C22*B$15+IF(Drivers!$C$20=1,D22*Drivers!$C$19*Drivers!$C$18,0)</f>
        <v/>
      </c>
      <c r="J22">
        <f>I22-E22-F22-G22-H22-B$13</f>
        <v/>
      </c>
      <c r="K22">
        <f>IF(OR(A22=5,A22=10),Drivers!$C$32*B$6,0)</f>
        <v/>
      </c>
      <c r="L22">
        <f>J22-IF(J22&gt;0,J22*Drivers!$C$37,0)+B$13-K22</f>
        <v/>
      </c>
      <c r="M22">
        <f>M21-O21</f>
        <v/>
      </c>
      <c r="N22">
        <f>M22*Drivers!$C$34</f>
        <v/>
      </c>
      <c r="O22">
        <f>IF(A22&lt;=Drivers!$C$35,B$11/Drivers!$C$35,0)</f>
        <v/>
      </c>
      <c r="P22">
        <f>(J22-N22)-IF((J22-N22)&gt;0,(J22-N22)*Drivers!$C$37,0)+B$13-O22-K22</f>
        <v/>
      </c>
      <c r="Q22">
        <f>IF((N22+O22)&gt;0,((J22-N22)-IF((J22-N22)&gt;0,(J22-N22)*Drivers!$C$37,0)+B$13+N22)/(N22+O22),"")</f>
        <v/>
      </c>
    </row>
    <row r="23">
      <c r="A23" t="n">
        <v>4</v>
      </c>
      <c r="B23">
        <f>IF(A23=1,Drivers!$C$6,Drivers!$C$5)</f>
        <v/>
      </c>
      <c r="C23">
        <f>B$3*Drivers!$C$7*B23</f>
        <v/>
      </c>
      <c r="D23">
        <f>B$4*Drivers!$C$7*B23</f>
        <v/>
      </c>
      <c r="E23">
        <f>D23*B$5</f>
        <v/>
      </c>
      <c r="F23">
        <f>Drivers!$C$29*B$6</f>
        <v/>
      </c>
      <c r="G23">
        <f>C23*Drivers!$C$30</f>
        <v/>
      </c>
      <c r="H23">
        <f>C23*Drivers!$C$31</f>
        <v/>
      </c>
      <c r="I23">
        <f>C23*B$15+IF(Drivers!$C$20=1,D23*Drivers!$C$19*Drivers!$C$18,0)</f>
        <v/>
      </c>
      <c r="J23">
        <f>I23-E23-F23-G23-H23-B$13</f>
        <v/>
      </c>
      <c r="K23">
        <f>IF(OR(A23=5,A23=10),Drivers!$C$32*B$6,0)</f>
        <v/>
      </c>
      <c r="L23">
        <f>J23-IF(J23&gt;0,J23*Drivers!$C$37,0)+B$13-K23</f>
        <v/>
      </c>
      <c r="M23">
        <f>M22-O22</f>
        <v/>
      </c>
      <c r="N23">
        <f>M23*Drivers!$C$34</f>
        <v/>
      </c>
      <c r="O23">
        <f>IF(A23&lt;=Drivers!$C$35,B$11/Drivers!$C$35,0)</f>
        <v/>
      </c>
      <c r="P23">
        <f>(J23-N23)-IF((J23-N23)&gt;0,(J23-N23)*Drivers!$C$37,0)+B$13-O23-K23</f>
        <v/>
      </c>
      <c r="Q23">
        <f>IF((N23+O23)&gt;0,((J23-N23)-IF((J23-N23)&gt;0,(J23-N23)*Drivers!$C$37,0)+B$13+N23)/(N23+O23),"")</f>
        <v/>
      </c>
    </row>
    <row r="24">
      <c r="A24" t="n">
        <v>5</v>
      </c>
      <c r="B24">
        <f>IF(A24=1,Drivers!$C$6,Drivers!$C$5)</f>
        <v/>
      </c>
      <c r="C24">
        <f>B$3*Drivers!$C$7*B24</f>
        <v/>
      </c>
      <c r="D24">
        <f>B$4*Drivers!$C$7*B24</f>
        <v/>
      </c>
      <c r="E24">
        <f>D24*B$5</f>
        <v/>
      </c>
      <c r="F24">
        <f>Drivers!$C$29*B$6</f>
        <v/>
      </c>
      <c r="G24">
        <f>C24*Drivers!$C$30</f>
        <v/>
      </c>
      <c r="H24">
        <f>C24*Drivers!$C$31</f>
        <v/>
      </c>
      <c r="I24">
        <f>C24*B$15+IF(Drivers!$C$20=1,D24*Drivers!$C$19*Drivers!$C$18,0)</f>
        <v/>
      </c>
      <c r="J24">
        <f>I24-E24-F24-G24-H24-B$13</f>
        <v/>
      </c>
      <c r="K24">
        <f>IF(OR(A24=5,A24=10),Drivers!$C$32*B$6,0)</f>
        <v/>
      </c>
      <c r="L24">
        <f>J24-IF(J24&gt;0,J24*Drivers!$C$37,0)+B$13-K24</f>
        <v/>
      </c>
      <c r="M24">
        <f>M23-O23</f>
        <v/>
      </c>
      <c r="N24">
        <f>M24*Drivers!$C$34</f>
        <v/>
      </c>
      <c r="O24">
        <f>IF(A24&lt;=Drivers!$C$35,B$11/Drivers!$C$35,0)</f>
        <v/>
      </c>
      <c r="P24">
        <f>(J24-N24)-IF((J24-N24)&gt;0,(J24-N24)*Drivers!$C$37,0)+B$13-O24-K24</f>
        <v/>
      </c>
      <c r="Q24">
        <f>IF((N24+O24)&gt;0,((J24-N24)-IF((J24-N24)&gt;0,(J24-N24)*Drivers!$C$37,0)+B$13+N24)/(N24+O24),"")</f>
        <v/>
      </c>
    </row>
    <row r="25">
      <c r="A25" t="n">
        <v>6</v>
      </c>
      <c r="B25">
        <f>IF(A25=1,Drivers!$C$6,Drivers!$C$5)</f>
        <v/>
      </c>
      <c r="C25">
        <f>B$3*Drivers!$C$7*B25</f>
        <v/>
      </c>
      <c r="D25">
        <f>B$4*Drivers!$C$7*B25</f>
        <v/>
      </c>
      <c r="E25">
        <f>D25*B$5</f>
        <v/>
      </c>
      <c r="F25">
        <f>Drivers!$C$29*B$6</f>
        <v/>
      </c>
      <c r="G25">
        <f>C25*Drivers!$C$30</f>
        <v/>
      </c>
      <c r="H25">
        <f>C25*Drivers!$C$31</f>
        <v/>
      </c>
      <c r="I25">
        <f>C25*B$15+IF(Drivers!$C$20=1,D25*Drivers!$C$19*Drivers!$C$18,0)</f>
        <v/>
      </c>
      <c r="J25">
        <f>I25-E25-F25-G25-H25-B$13</f>
        <v/>
      </c>
      <c r="K25">
        <f>IF(OR(A25=5,A25=10),Drivers!$C$32*B$6,0)</f>
        <v/>
      </c>
      <c r="L25">
        <f>J25-IF(J25&gt;0,J25*Drivers!$C$37,0)+B$13-K25</f>
        <v/>
      </c>
      <c r="M25">
        <f>M24-O24</f>
        <v/>
      </c>
      <c r="N25">
        <f>M25*Drivers!$C$34</f>
        <v/>
      </c>
      <c r="O25">
        <f>IF(A25&lt;=Drivers!$C$35,B$11/Drivers!$C$35,0)</f>
        <v/>
      </c>
      <c r="P25">
        <f>(J25-N25)-IF((J25-N25)&gt;0,(J25-N25)*Drivers!$C$37,0)+B$13-O25-K25</f>
        <v/>
      </c>
      <c r="Q25">
        <f>IF((N25+O25)&gt;0,((J25-N25)-IF((J25-N25)&gt;0,(J25-N25)*Drivers!$C$37,0)+B$13+N25)/(N25+O25),"")</f>
        <v/>
      </c>
    </row>
    <row r="26">
      <c r="A26" t="n">
        <v>7</v>
      </c>
      <c r="B26">
        <f>IF(A26=1,Drivers!$C$6,Drivers!$C$5)</f>
        <v/>
      </c>
      <c r="C26">
        <f>B$3*Drivers!$C$7*B26</f>
        <v/>
      </c>
      <c r="D26">
        <f>B$4*Drivers!$C$7*B26</f>
        <v/>
      </c>
      <c r="E26">
        <f>D26*B$5</f>
        <v/>
      </c>
      <c r="F26">
        <f>Drivers!$C$29*B$6</f>
        <v/>
      </c>
      <c r="G26">
        <f>C26*Drivers!$C$30</f>
        <v/>
      </c>
      <c r="H26">
        <f>C26*Drivers!$C$31</f>
        <v/>
      </c>
      <c r="I26">
        <f>C26*B$15+IF(Drivers!$C$20=1,D26*Drivers!$C$19*Drivers!$C$18,0)</f>
        <v/>
      </c>
      <c r="J26">
        <f>I26-E26-F26-G26-H26-B$13</f>
        <v/>
      </c>
      <c r="K26">
        <f>IF(OR(A26=5,A26=10),Drivers!$C$32*B$6,0)</f>
        <v/>
      </c>
      <c r="L26">
        <f>J26-IF(J26&gt;0,J26*Drivers!$C$37,0)+B$13-K26</f>
        <v/>
      </c>
      <c r="M26">
        <f>M25-O25</f>
        <v/>
      </c>
      <c r="N26">
        <f>M26*Drivers!$C$34</f>
        <v/>
      </c>
      <c r="O26">
        <f>IF(A26&lt;=Drivers!$C$35,B$11/Drivers!$C$35,0)</f>
        <v/>
      </c>
      <c r="P26">
        <f>(J26-N26)-IF((J26-N26)&gt;0,(J26-N26)*Drivers!$C$37,0)+B$13-O26-K26</f>
        <v/>
      </c>
      <c r="Q26">
        <f>IF((N26+O26)&gt;0,((J26-N26)-IF((J26-N26)&gt;0,(J26-N26)*Drivers!$C$37,0)+B$13+N26)/(N26+O26),"")</f>
        <v/>
      </c>
    </row>
    <row r="27">
      <c r="A27" t="n">
        <v>8</v>
      </c>
      <c r="B27">
        <f>IF(A27=1,Drivers!$C$6,Drivers!$C$5)</f>
        <v/>
      </c>
      <c r="C27">
        <f>B$3*Drivers!$C$7*B27</f>
        <v/>
      </c>
      <c r="D27">
        <f>B$4*Drivers!$C$7*B27</f>
        <v/>
      </c>
      <c r="E27">
        <f>D27*B$5</f>
        <v/>
      </c>
      <c r="F27">
        <f>Drivers!$C$29*B$6</f>
        <v/>
      </c>
      <c r="G27">
        <f>C27*Drivers!$C$30</f>
        <v/>
      </c>
      <c r="H27">
        <f>C27*Drivers!$C$31</f>
        <v/>
      </c>
      <c r="I27">
        <f>C27*B$15+IF(Drivers!$C$20=1,D27*Drivers!$C$19*Drivers!$C$18,0)</f>
        <v/>
      </c>
      <c r="J27">
        <f>I27-E27-F27-G27-H27-B$13</f>
        <v/>
      </c>
      <c r="K27">
        <f>IF(OR(A27=5,A27=10),Drivers!$C$32*B$6,0)</f>
        <v/>
      </c>
      <c r="L27">
        <f>J27-IF(J27&gt;0,J27*Drivers!$C$37,0)+B$13-K27</f>
        <v/>
      </c>
      <c r="M27">
        <f>M26-O26</f>
        <v/>
      </c>
      <c r="N27">
        <f>M27*Drivers!$C$34</f>
        <v/>
      </c>
      <c r="O27">
        <f>IF(A27&lt;=Drivers!$C$35,B$11/Drivers!$C$35,0)</f>
        <v/>
      </c>
      <c r="P27">
        <f>(J27-N27)-IF((J27-N27)&gt;0,(J27-N27)*Drivers!$C$37,0)+B$13-O27-K27</f>
        <v/>
      </c>
      <c r="Q27">
        <f>IF((N27+O27)&gt;0,((J27-N27)-IF((J27-N27)&gt;0,(J27-N27)*Drivers!$C$37,0)+B$13+N27)/(N27+O27),"")</f>
        <v/>
      </c>
    </row>
    <row r="28">
      <c r="A28" t="n">
        <v>9</v>
      </c>
      <c r="B28">
        <f>IF(A28=1,Drivers!$C$6,Drivers!$C$5)</f>
        <v/>
      </c>
      <c r="C28">
        <f>B$3*Drivers!$C$7*B28</f>
        <v/>
      </c>
      <c r="D28">
        <f>B$4*Drivers!$C$7*B28</f>
        <v/>
      </c>
      <c r="E28">
        <f>D28*B$5</f>
        <v/>
      </c>
      <c r="F28">
        <f>Drivers!$C$29*B$6</f>
        <v/>
      </c>
      <c r="G28">
        <f>C28*Drivers!$C$30</f>
        <v/>
      </c>
      <c r="H28">
        <f>C28*Drivers!$C$31</f>
        <v/>
      </c>
      <c r="I28">
        <f>C28*B$15+IF(Drivers!$C$20=1,D28*Drivers!$C$19*Drivers!$C$18,0)</f>
        <v/>
      </c>
      <c r="J28">
        <f>I28-E28-F28-G28-H28-B$13</f>
        <v/>
      </c>
      <c r="K28">
        <f>IF(OR(A28=5,A28=10),Drivers!$C$32*B$6,0)</f>
        <v/>
      </c>
      <c r="L28">
        <f>J28-IF(J28&gt;0,J28*Drivers!$C$37,0)+B$13-K28</f>
        <v/>
      </c>
      <c r="M28">
        <f>M27-O27</f>
        <v/>
      </c>
      <c r="N28">
        <f>M28*Drivers!$C$34</f>
        <v/>
      </c>
      <c r="O28">
        <f>IF(A28&lt;=Drivers!$C$35,B$11/Drivers!$C$35,0)</f>
        <v/>
      </c>
      <c r="P28">
        <f>(J28-N28)-IF((J28-N28)&gt;0,(J28-N28)*Drivers!$C$37,0)+B$13-O28-K28</f>
        <v/>
      </c>
      <c r="Q28">
        <f>IF((N28+O28)&gt;0,((J28-N28)-IF((J28-N28)&gt;0,(J28-N28)*Drivers!$C$37,0)+B$13+N28)/(N28+O28),"")</f>
        <v/>
      </c>
    </row>
    <row r="29">
      <c r="A29" t="n">
        <v>10</v>
      </c>
      <c r="B29">
        <f>IF(A29=1,Drivers!$C$6,Drivers!$C$5)</f>
        <v/>
      </c>
      <c r="C29">
        <f>B$3*Drivers!$C$7*B29</f>
        <v/>
      </c>
      <c r="D29">
        <f>B$4*Drivers!$C$7*B29</f>
        <v/>
      </c>
      <c r="E29">
        <f>D29*B$5</f>
        <v/>
      </c>
      <c r="F29">
        <f>Drivers!$C$29*B$6</f>
        <v/>
      </c>
      <c r="G29">
        <f>C29*Drivers!$C$30</f>
        <v/>
      </c>
      <c r="H29">
        <f>C29*Drivers!$C$31</f>
        <v/>
      </c>
      <c r="I29">
        <f>C29*B$15+IF(Drivers!$C$20=1,D29*Drivers!$C$19*Drivers!$C$18,0)</f>
        <v/>
      </c>
      <c r="J29">
        <f>I29-E29-F29-G29-H29-B$13</f>
        <v/>
      </c>
      <c r="K29">
        <f>IF(OR(A29=5,A29=10),Drivers!$C$32*B$6,0)</f>
        <v/>
      </c>
      <c r="L29">
        <f>J29-IF(J29&gt;0,J29*Drivers!$C$37,0)+B$13-K29</f>
        <v/>
      </c>
      <c r="M29">
        <f>M28-O28</f>
        <v/>
      </c>
      <c r="N29">
        <f>M29*Drivers!$C$34</f>
        <v/>
      </c>
      <c r="O29">
        <f>IF(A29&lt;=Drivers!$C$35,B$11/Drivers!$C$35,0)</f>
        <v/>
      </c>
      <c r="P29">
        <f>(J29-N29)-IF((J29-N29)&gt;0,(J29-N29)*Drivers!$C$37,0)+B$13-O29-K29</f>
        <v/>
      </c>
      <c r="Q29">
        <f>IF((N29+O29)&gt;0,((J29-N29)-IF((J29-N29)&gt;0,(J29-N29)*Drivers!$C$37,0)+B$13+N29)/(N29+O29),"")</f>
        <v/>
      </c>
    </row>
    <row r="30">
      <c r="A30" t="n">
        <v>11</v>
      </c>
      <c r="B30">
        <f>IF(A30=1,Drivers!$C$6,Drivers!$C$5)</f>
        <v/>
      </c>
      <c r="C30">
        <f>B$3*Drivers!$C$7*B30</f>
        <v/>
      </c>
      <c r="D30">
        <f>B$4*Drivers!$C$7*B30</f>
        <v/>
      </c>
      <c r="E30">
        <f>D30*B$5</f>
        <v/>
      </c>
      <c r="F30">
        <f>Drivers!$C$29*B$6</f>
        <v/>
      </c>
      <c r="G30">
        <f>C30*Drivers!$C$30</f>
        <v/>
      </c>
      <c r="H30">
        <f>C30*Drivers!$C$31</f>
        <v/>
      </c>
      <c r="I30">
        <f>C30*B$15+IF(Drivers!$C$20=1,D30*Drivers!$C$19*Drivers!$C$18,0)</f>
        <v/>
      </c>
      <c r="J30">
        <f>I30-E30-F30-G30-H30-B$13</f>
        <v/>
      </c>
      <c r="K30">
        <f>IF(OR(A30=5,A30=10),Drivers!$C$32*B$6,0)</f>
        <v/>
      </c>
      <c r="L30">
        <f>J30-IF(J30&gt;0,J30*Drivers!$C$37,0)+B$13-K30</f>
        <v/>
      </c>
      <c r="M30">
        <f>M29-O29</f>
        <v/>
      </c>
      <c r="N30">
        <f>M30*Drivers!$C$34</f>
        <v/>
      </c>
      <c r="O30">
        <f>IF(A30&lt;=Drivers!$C$35,B$11/Drivers!$C$35,0)</f>
        <v/>
      </c>
      <c r="P30">
        <f>(J30-N30)-IF((J30-N30)&gt;0,(J30-N30)*Drivers!$C$37,0)+B$13-O30-K30</f>
        <v/>
      </c>
      <c r="Q30">
        <f>IF((N30+O30)&gt;0,((J30-N30)-IF((J30-N30)&gt;0,(J30-N30)*Drivers!$C$37,0)+B$13+N30)/(N30+O30),"")</f>
        <v/>
      </c>
    </row>
    <row r="31">
      <c r="A31" t="n">
        <v>12</v>
      </c>
      <c r="B31">
        <f>IF(A31=1,Drivers!$C$6,Drivers!$C$5)</f>
        <v/>
      </c>
      <c r="C31">
        <f>B$3*Drivers!$C$7*B31</f>
        <v/>
      </c>
      <c r="D31">
        <f>B$4*Drivers!$C$7*B31</f>
        <v/>
      </c>
      <c r="E31">
        <f>D31*B$5</f>
        <v/>
      </c>
      <c r="F31">
        <f>Drivers!$C$29*B$6</f>
        <v/>
      </c>
      <c r="G31">
        <f>C31*Drivers!$C$30</f>
        <v/>
      </c>
      <c r="H31">
        <f>C31*Drivers!$C$31</f>
        <v/>
      </c>
      <c r="I31">
        <f>C31*B$15+IF(Drivers!$C$20=1,D31*Drivers!$C$19*Drivers!$C$18,0)</f>
        <v/>
      </c>
      <c r="J31">
        <f>I31-E31-F31-G31-H31-B$13</f>
        <v/>
      </c>
      <c r="K31">
        <f>IF(OR(A31=5,A31=10),Drivers!$C$32*B$6,0)</f>
        <v/>
      </c>
      <c r="L31">
        <f>J31-IF(J31&gt;0,J31*Drivers!$C$37,0)+B$13-K31</f>
        <v/>
      </c>
      <c r="M31">
        <f>M30-O30</f>
        <v/>
      </c>
      <c r="N31">
        <f>M31*Drivers!$C$34</f>
        <v/>
      </c>
      <c r="O31">
        <f>IF(A31&lt;=Drivers!$C$35,B$11/Drivers!$C$35,0)</f>
        <v/>
      </c>
      <c r="P31">
        <f>(J31-N31)-IF((J31-N31)&gt;0,(J31-N31)*Drivers!$C$37,0)+B$13-O31-K31</f>
        <v/>
      </c>
      <c r="Q31">
        <f>IF((N31+O31)&gt;0,((J31-N31)-IF((J31-N31)&gt;0,(J31-N31)*Drivers!$C$37,0)+B$13+N31)/(N31+O31),"")</f>
        <v/>
      </c>
    </row>
    <row r="32">
      <c r="A32" t="n">
        <v>13</v>
      </c>
      <c r="B32">
        <f>IF(A32=1,Drivers!$C$6,Drivers!$C$5)</f>
        <v/>
      </c>
      <c r="C32">
        <f>B$3*Drivers!$C$7*B32</f>
        <v/>
      </c>
      <c r="D32">
        <f>B$4*Drivers!$C$7*B32</f>
        <v/>
      </c>
      <c r="E32">
        <f>D32*B$5</f>
        <v/>
      </c>
      <c r="F32">
        <f>Drivers!$C$29*B$6</f>
        <v/>
      </c>
      <c r="G32">
        <f>C32*Drivers!$C$30</f>
        <v/>
      </c>
      <c r="H32">
        <f>C32*Drivers!$C$31</f>
        <v/>
      </c>
      <c r="I32">
        <f>C32*B$15+IF(Drivers!$C$20=1,D32*Drivers!$C$19*Drivers!$C$18,0)</f>
        <v/>
      </c>
      <c r="J32">
        <f>I32-E32-F32-G32-H32-B$13</f>
        <v/>
      </c>
      <c r="K32">
        <f>IF(OR(A32=5,A32=10),Drivers!$C$32*B$6,0)</f>
        <v/>
      </c>
      <c r="L32">
        <f>J32-IF(J32&gt;0,J32*Drivers!$C$37,0)+B$13-K32</f>
        <v/>
      </c>
      <c r="M32">
        <f>M31-O31</f>
        <v/>
      </c>
      <c r="N32">
        <f>M32*Drivers!$C$34</f>
        <v/>
      </c>
      <c r="O32">
        <f>IF(A32&lt;=Drivers!$C$35,B$11/Drivers!$C$35,0)</f>
        <v/>
      </c>
      <c r="P32">
        <f>(J32-N32)-IF((J32-N32)&gt;0,(J32-N32)*Drivers!$C$37,0)+B$13-O32-K32</f>
        <v/>
      </c>
      <c r="Q32">
        <f>IF((N32+O32)&gt;0,((J32-N32)-IF((J32-N32)&gt;0,(J32-N32)*Drivers!$C$37,0)+B$13+N32)/(N32+O32),"")</f>
        <v/>
      </c>
    </row>
    <row r="33">
      <c r="A33" t="n">
        <v>14</v>
      </c>
      <c r="B33">
        <f>IF(A33=1,Drivers!$C$6,Drivers!$C$5)</f>
        <v/>
      </c>
      <c r="C33">
        <f>B$3*Drivers!$C$7*B33</f>
        <v/>
      </c>
      <c r="D33">
        <f>B$4*Drivers!$C$7*B33</f>
        <v/>
      </c>
      <c r="E33">
        <f>D33*B$5</f>
        <v/>
      </c>
      <c r="F33">
        <f>Drivers!$C$29*B$6</f>
        <v/>
      </c>
      <c r="G33">
        <f>C33*Drivers!$C$30</f>
        <v/>
      </c>
      <c r="H33">
        <f>C33*Drivers!$C$31</f>
        <v/>
      </c>
      <c r="I33">
        <f>C33*B$15+IF(Drivers!$C$20=1,D33*Drivers!$C$19*Drivers!$C$18,0)</f>
        <v/>
      </c>
      <c r="J33">
        <f>I33-E33-F33-G33-H33-B$13</f>
        <v/>
      </c>
      <c r="K33">
        <f>IF(OR(A33=5,A33=10),Drivers!$C$32*B$6,0)</f>
        <v/>
      </c>
      <c r="L33">
        <f>J33-IF(J33&gt;0,J33*Drivers!$C$37,0)+B$13-K33</f>
        <v/>
      </c>
      <c r="M33">
        <f>M32-O32</f>
        <v/>
      </c>
      <c r="N33">
        <f>M33*Drivers!$C$34</f>
        <v/>
      </c>
      <c r="O33">
        <f>IF(A33&lt;=Drivers!$C$35,B$11/Drivers!$C$35,0)</f>
        <v/>
      </c>
      <c r="P33">
        <f>(J33-N33)-IF((J33-N33)&gt;0,(J33-N33)*Drivers!$C$37,0)+B$13-O33-K33</f>
        <v/>
      </c>
      <c r="Q33">
        <f>IF((N33+O33)&gt;0,((J33-N33)-IF((J33-N33)&gt;0,(J33-N33)*Drivers!$C$37,0)+B$13+N33)/(N33+O33),"")</f>
        <v/>
      </c>
    </row>
    <row r="34">
      <c r="A34" t="n">
        <v>15</v>
      </c>
      <c r="B34">
        <f>IF(A34=1,Drivers!$C$6,Drivers!$C$5)</f>
        <v/>
      </c>
      <c r="C34">
        <f>B$3*Drivers!$C$7*B34</f>
        <v/>
      </c>
      <c r="D34">
        <f>B$4*Drivers!$C$7*B34</f>
        <v/>
      </c>
      <c r="E34">
        <f>D34*B$5</f>
        <v/>
      </c>
      <c r="F34">
        <f>Drivers!$C$29*B$6</f>
        <v/>
      </c>
      <c r="G34">
        <f>C34*Drivers!$C$30</f>
        <v/>
      </c>
      <c r="H34">
        <f>C34*Drivers!$C$31</f>
        <v/>
      </c>
      <c r="I34">
        <f>C34*B$15+IF(Drivers!$C$20=1,D34*Drivers!$C$19*Drivers!$C$18,0)</f>
        <v/>
      </c>
      <c r="J34">
        <f>I34-E34-F34-G34-H34-B$13</f>
        <v/>
      </c>
      <c r="K34">
        <f>IF(OR(A34=5,A34=10),Drivers!$C$32*B$6,0)</f>
        <v/>
      </c>
      <c r="L34">
        <f>J34-IF(J34&gt;0,J34*Drivers!$C$37,0)+B$13-K34</f>
        <v/>
      </c>
      <c r="M34">
        <f>M33-O33</f>
        <v/>
      </c>
      <c r="N34">
        <f>M34*Drivers!$C$34</f>
        <v/>
      </c>
      <c r="O34">
        <f>IF(A34&lt;=Drivers!$C$35,B$11/Drivers!$C$35,0)</f>
        <v/>
      </c>
      <c r="P34">
        <f>(J34-N34)-IF((J34-N34)&gt;0,(J34-N34)*Drivers!$C$37,0)+B$13-O34-K34</f>
        <v/>
      </c>
      <c r="Q34">
        <f>IF((N34+O34)&gt;0,((J34-N34)-IF((J34-N34)&gt;0,(J34-N34)*Drivers!$C$37,0)+B$13+N34)/(N34+O34),"")</f>
        <v/>
      </c>
    </row>
    <row r="36">
      <c r="A36" s="9" t="inlineStr">
        <is>
          <t>RESULTS</t>
        </is>
      </c>
      <c r="D36" s="10" t="inlineStr">
        <is>
          <t>(should match column B at base drivers)</t>
        </is>
      </c>
    </row>
    <row r="37">
      <c r="A37" t="inlineStr">
        <is>
          <t>Project IRR</t>
        </is>
      </c>
      <c r="B37" s="6">
        <f>IRR(L19:L34)</f>
        <v/>
      </c>
      <c r="D37" t="inlineStr">
        <is>
          <t>Python engine →</t>
        </is>
      </c>
      <c r="E37" s="6" t="n">
        <v>0.1009</v>
      </c>
    </row>
    <row r="38">
      <c r="A38" t="inlineStr">
        <is>
          <t>Equity IRR</t>
        </is>
      </c>
      <c r="B38" s="6">
        <f>IRR(P19:P34)</f>
        <v/>
      </c>
      <c r="E38" s="6" t="n">
        <v>0.1256</v>
      </c>
    </row>
    <row r="39">
      <c r="A39" t="inlineStr">
        <is>
          <t>NPV @ WACC ₹</t>
        </is>
      </c>
      <c r="B39" s="5">
        <f>L19+NPV(B14,L20:L34)</f>
        <v/>
      </c>
      <c r="E39" s="5" t="n">
        <v>-3284854</v>
      </c>
    </row>
    <row r="40">
      <c r="A40" t="inlineStr">
        <is>
          <t>Min DSCR</t>
        </is>
      </c>
      <c r="B40" s="11">
        <f>MIN(Q20:Q34)</f>
        <v/>
      </c>
      <c r="E40" s="11" t="n">
        <v>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4" t="inlineStr">
        <is>
          <t>SCENARIOS — M1 injection @ 5 TPD (Python engine snapshot)</t>
        </is>
      </c>
    </row>
    <row r="3">
      <c r="A3" s="2" t="inlineStr">
        <is>
          <t>Scenario</t>
        </is>
      </c>
      <c r="B3" s="2" t="inlineStr">
        <is>
          <t>Project IRR</t>
        </is>
      </c>
      <c r="C3" s="2" t="inlineStr">
        <is>
          <t>Equity IRR</t>
        </is>
      </c>
      <c r="D3" s="2" t="inlineStr">
        <is>
          <t>NPV @WACC ₹cr</t>
        </is>
      </c>
      <c r="E3" s="2" t="inlineStr">
        <is>
          <t>Min DSCR</t>
        </is>
      </c>
      <c r="F3" s="2" t="inlineStr">
        <is>
          <t>Payback (yr)</t>
        </is>
      </c>
    </row>
    <row r="4">
      <c r="A4" t="inlineStr">
        <is>
          <t>Tailwind</t>
        </is>
      </c>
      <c r="B4" s="6" t="n">
        <v>0.3005009373836219</v>
      </c>
      <c r="C4" s="6" t="n">
        <v>0.6659139390971511</v>
      </c>
      <c r="D4" t="n">
        <v>22.02</v>
      </c>
      <c r="E4" t="n">
        <v>1.32</v>
      </c>
      <c r="F4" t="n">
        <v>4</v>
      </c>
    </row>
    <row r="5">
      <c r="A5" t="inlineStr">
        <is>
          <t>Base</t>
        </is>
      </c>
      <c r="B5" s="6" t="n">
        <v>0.1009323477428871</v>
      </c>
      <c r="C5" s="6" t="n">
        <v>0.1256001543059013</v>
      </c>
      <c r="D5" t="n">
        <v>-0.33</v>
      </c>
      <c r="E5" t="n">
        <v>0.86</v>
      </c>
      <c r="F5" t="n">
        <v>8</v>
      </c>
    </row>
    <row r="6">
      <c r="A6" t="inlineStr">
        <is>
          <t>Stress</t>
        </is>
      </c>
      <c r="B6" s="6" t="n">
        <v>-0.1580749930815656</v>
      </c>
      <c r="C6" s="6" t="n">
        <v>-0.3375461190854846</v>
      </c>
      <c r="D6" t="n">
        <v>-17.76</v>
      </c>
      <c r="E6" t="n">
        <v>0.06</v>
      </c>
      <c r="F6" t="inlineStr">
        <is>
          <t>&gt;15</t>
        </is>
      </c>
    </row>
    <row r="8">
      <c r="A8" s="12" t="inlineStr">
        <is>
          <t>Tailwind = PLF .70 + DPI subsidy + FOM clears @₹1500 + CBG ₹85 + dung eased. Base = PLF .50, no DPI, FOM ₹1250, CBG ₹77, dung ₹1250. Stress = PLF .45, feedstock +40%, FOM=0, CBG ₹70 (OMC gaps).</t>
        </is>
      </c>
    </row>
    <row r="9"/>
    <row r="10"/>
    <row r="11"/>
  </sheetData>
  <mergeCells count="1">
    <mergeCell ref="A8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SENSITIVITY — tornado, Monte-Carlo, frontier (Python engine)</t>
        </is>
      </c>
    </row>
    <row r="3">
      <c r="A3" s="2" t="inlineStr">
        <is>
          <t>TORNADO (equity IRR, M1@5TPD)</t>
        </is>
      </c>
      <c r="B3" s="2" t="inlineStr">
        <is>
          <t>low</t>
        </is>
      </c>
      <c r="C3" s="2" t="inlineStr">
        <is>
          <t>high</t>
        </is>
      </c>
      <c r="D3" s="2" t="inlineStr">
        <is>
          <t>swing (pts)</t>
        </is>
      </c>
    </row>
    <row r="4">
      <c r="A4" t="inlineStr">
        <is>
          <t>PLF 0.35-0.70</t>
        </is>
      </c>
      <c r="B4" s="6" t="n">
        <v>-0.0353698826954468</v>
      </c>
      <c r="C4" s="6" t="n">
        <v>0.3219394812876358</v>
      </c>
      <c r="D4" t="n">
        <v>35.7</v>
      </c>
    </row>
    <row r="5">
      <c r="A5" t="inlineStr">
        <is>
          <t>Dung/feed price (+/-40%)</t>
        </is>
      </c>
      <c r="B5" s="6" t="n">
        <v>0.2740104273292235</v>
      </c>
      <c r="C5" s="6" t="n">
        <v>-0.01128947432609282</v>
      </c>
      <c r="D5" t="n">
        <v>28.5</v>
      </c>
    </row>
    <row r="6">
      <c r="A6" t="inlineStr">
        <is>
          <t>CBG price ₹65-90/kg</t>
        </is>
      </c>
      <c r="B6" s="6" t="n">
        <v>-0.0001968593147584057</v>
      </c>
      <c r="C6" s="6" t="n">
        <v>0.2729565371921285</v>
      </c>
      <c r="D6" t="n">
        <v>27.3</v>
      </c>
    </row>
    <row r="7">
      <c r="A7" t="inlineStr">
        <is>
          <t>Capex ₹40k-55k/kgday</t>
        </is>
      </c>
      <c r="B7" s="6" t="n">
        <v>0.2144396246914751</v>
      </c>
      <c r="C7" s="6" t="n">
        <v>0.01307464827033683</v>
      </c>
      <c r="D7" t="n">
        <v>20.1</v>
      </c>
    </row>
    <row r="8">
      <c r="A8" t="inlineStr">
        <is>
          <t>FOM ₹0-1500/t</t>
        </is>
      </c>
      <c r="B8" s="6" t="n">
        <v>-0.01683505801761064</v>
      </c>
      <c r="C8" s="6" t="n">
        <v>0.1559532379020005</v>
      </c>
      <c r="D8" t="n">
        <v>17.3</v>
      </c>
    </row>
    <row r="9">
      <c r="A9" t="inlineStr">
        <is>
          <t>Subsidy 20-35% / DPI</t>
        </is>
      </c>
      <c r="B9" s="6" t="n">
        <v>0.1256001543059013</v>
      </c>
      <c r="C9" s="6" t="n">
        <v>0.2188071499507873</v>
      </c>
      <c r="D9" t="n">
        <v>9.300000000000001</v>
      </c>
    </row>
    <row r="10">
      <c r="A10" t="inlineStr">
        <is>
          <t>Cost of debt 9-13%</t>
        </is>
      </c>
      <c r="B10" s="6" t="n">
        <v>0.1416584188870154</v>
      </c>
      <c r="C10" s="6" t="n">
        <v>0.1016373929311521</v>
      </c>
      <c r="D10" t="n">
        <v>4</v>
      </c>
    </row>
    <row r="12">
      <c r="A12" s="9" t="inlineStr">
        <is>
          <t>Base equity IRR = 12.6%</t>
        </is>
      </c>
    </row>
    <row r="14">
      <c r="A14" s="9" t="inlineStr">
        <is>
          <t>MONTE-CARLO (5,000 draws, equity IRR)</t>
        </is>
      </c>
    </row>
    <row r="15">
      <c r="A15" t="inlineStr">
        <is>
          <t>P10</t>
        </is>
      </c>
      <c r="B15" s="6" t="n">
        <v>-0.1582</v>
      </c>
    </row>
    <row r="16">
      <c r="A16" t="inlineStr">
        <is>
          <t>P50</t>
        </is>
      </c>
      <c r="B16" s="6" t="n">
        <v>-0.0033</v>
      </c>
    </row>
    <row r="17">
      <c r="A17" t="inlineStr">
        <is>
          <t>P90</t>
        </is>
      </c>
      <c r="B17" s="6" t="n">
        <v>0.1727</v>
      </c>
    </row>
    <row r="18">
      <c r="A18" t="inlineStr">
        <is>
          <t>P(IRR&gt;WACC)</t>
        </is>
      </c>
      <c r="B18" s="6" t="n">
        <v>0.2086</v>
      </c>
    </row>
    <row r="19">
      <c r="A19" t="inlineStr">
        <is>
          <t>P(IRR&gt;20%)</t>
        </is>
      </c>
      <c r="B19" s="6" t="n">
        <v>0.0692</v>
      </c>
    </row>
    <row r="20">
      <c r="A20" t="inlineStr">
        <is>
          <t>P(IRR&lt;0)</t>
        </is>
      </c>
      <c r="B20" s="6" t="n">
        <v>0.5092</v>
      </c>
    </row>
    <row r="22">
      <c r="A22" s="9" t="inlineStr">
        <is>
          <t>FRONTIER project IRR — best/worst corner</t>
        </is>
      </c>
    </row>
    <row r="23">
      <c r="A23" t="inlineStr">
        <is>
          <t>dung ₹800 / CBG ₹95</t>
        </is>
      </c>
      <c r="B23" s="6" t="n">
        <v>0.2112</v>
      </c>
    </row>
    <row r="24">
      <c r="A24" t="inlineStr">
        <is>
          <t>dung ₹2600 / CBG ₹55</t>
        </is>
      </c>
      <c r="B24" s="6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2026-05-31T18:59:52Z</dcterms:created>
  <dcterms:modified xmlns:dcterms="http://purl.org/dc/terms/" xmlns:xsi="http://www.w3.org/2001/XMLSchema-instance" xsi:type="dcterms:W3CDTF">2026-05-31T18:59:53Z</dcterms:modified>
</cp:coreProperties>
</file>